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HILISILE\Documents\"/>
    </mc:Choice>
  </mc:AlternateContent>
  <bookViews>
    <workbookView xWindow="0" yWindow="0" windowWidth="20490" windowHeight="7485" activeTab="2"/>
  </bookViews>
  <sheets>
    <sheet name="Bank_Comparison" sheetId="1" r:id="rId1"/>
    <sheet name="Reviews_Nelspruit" sheetId="2" r:id="rId2"/>
    <sheet name="Analysis_Summary" sheetId="3" r:id="rId3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" i="3" l="1"/>
  <c r="A9" i="3"/>
  <c r="A8" i="3"/>
  <c r="A7" i="3"/>
  <c r="A6" i="3"/>
  <c r="A3" i="3"/>
  <c r="A2" i="3"/>
</calcChain>
</file>

<file path=xl/sharedStrings.xml><?xml version="1.0" encoding="utf-8"?>
<sst xmlns="http://schemas.openxmlformats.org/spreadsheetml/2006/main" count="74" uniqueCount="55">
  <si>
    <t>Bank Name</t>
  </si>
  <si>
    <t>Monthly Fee</t>
  </si>
  <si>
    <t>Branch Needed?</t>
  </si>
  <si>
    <t>Account Opening</t>
  </si>
  <si>
    <t>ABSA</t>
  </si>
  <si>
    <t>Capitec</t>
  </si>
  <si>
    <t>TymeBank</t>
  </si>
  <si>
    <t>R0.00</t>
  </si>
  <si>
    <t>Yes, long queue</t>
  </si>
  <si>
    <t>No, App</t>
  </si>
  <si>
    <t>No,Boxer/PnP</t>
  </si>
  <si>
    <t>Branch</t>
  </si>
  <si>
    <t>3 minutes app</t>
  </si>
  <si>
    <t>5 minutes at till</t>
  </si>
  <si>
    <t>R69 - R255</t>
  </si>
  <si>
    <t>R7.50 - R35</t>
  </si>
  <si>
    <t>Bank</t>
  </si>
  <si>
    <t>Stars</t>
  </si>
  <si>
    <t>Review</t>
  </si>
  <si>
    <t>Summary</t>
  </si>
  <si>
    <t>Category</t>
  </si>
  <si>
    <t>Not great or frieandly service here I am glad I am not a member of ABSA</t>
  </si>
  <si>
    <t>Not friendly</t>
  </si>
  <si>
    <t>Service</t>
  </si>
  <si>
    <t>Terrible experience waited for one hour to see priority banker only to be told he cannot assist me</t>
  </si>
  <si>
    <t>One hour and not assited</t>
  </si>
  <si>
    <t>Queue + service</t>
  </si>
  <si>
    <t>Slow system and waiting longer</t>
  </si>
  <si>
    <t>Even considering to move to other bank. Very poor service</t>
  </si>
  <si>
    <t>considering other banks because of service</t>
  </si>
  <si>
    <t>Service with a smile</t>
  </si>
  <si>
    <t>friendly</t>
  </si>
  <si>
    <t>Good service</t>
  </si>
  <si>
    <t>I did not get feedback on my application for vihicle financing from ABSA square</t>
  </si>
  <si>
    <t>No Feedback</t>
  </si>
  <si>
    <t>service</t>
  </si>
  <si>
    <t>Not even worth 1 star personel are slow in helping if there is any help at all</t>
  </si>
  <si>
    <t>Slow when helping</t>
  </si>
  <si>
    <t>Rarely any stuff at this branch. Slower than snails. Nobody at reception. I moved to FNB because of this branch</t>
  </si>
  <si>
    <t>slow stuff</t>
  </si>
  <si>
    <t>Slow service at ABSA square. Queued an hour, system too slow. Disappointing, what happened to the best bank?</t>
  </si>
  <si>
    <t>Poor service, slow and unhelpful stuff</t>
  </si>
  <si>
    <t>Waste of time. Staff could not update company neme despite all doccuments provided FNB did it in 30 minutes</t>
  </si>
  <si>
    <t>Great staff but understaffed. Thobile is excellent.</t>
  </si>
  <si>
    <t>Understaffed but friendly</t>
  </si>
  <si>
    <t>Staffing</t>
  </si>
  <si>
    <t>1. AVERAGE STARS:</t>
  </si>
  <si>
    <t>2. Count Categories:</t>
  </si>
  <si>
    <t>Key Findings:</t>
  </si>
  <si>
    <t>11 out of 12 reviews are 1 to 2 stars</t>
  </si>
  <si>
    <t>Most complaints are about Queue and slow service</t>
  </si>
  <si>
    <t>Only one review mentions friendly staff as positive</t>
  </si>
  <si>
    <t>Recommendation:</t>
  </si>
  <si>
    <t>ABSA Nelspruit needs more staff at peak times to reduce queues</t>
  </si>
  <si>
    <t>Compared to Capitec and TymeBank (from Bank_comparison sheet) ABSA has higher fees and worse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</si>
</sst>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R&quot;#,##0;[Red]\-&quot;R&quot;#,##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Main</a:t>
            </a:r>
            <a:r>
              <a:rPr lang="en-ZA" baseline="0"/>
              <a:t> Complaint Categories - ABSA Nelspruit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Analysis_Summary!$A$5</c:f>
              <c:strCache>
                <c:ptCount val="1"/>
                <c:pt idx="0">
                  <c:v>2. Count Categories: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Analysis_Summary!$A$6:$A$10</c:f>
              <c:numCache>
                <c:formatCode>General</c:formatCode>
                <c:ptCount val="5"/>
                <c:pt idx="0">
                  <c:v>6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8-4BE0-9FFC-6861BE55E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273103"/>
        <c:axId val="208269359"/>
      </c:barChart>
      <c:catAx>
        <c:axId val="20827310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69359"/>
        <c:crosses val="autoZero"/>
        <c:auto val="1"/>
        <c:lblAlgn val="ctr"/>
        <c:lblOffset val="100"/>
        <c:noMultiLvlLbl val="0"/>
      </c:catAx>
      <c:valAx>
        <c:axId val="20826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73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</xdr:colOff>
      <xdr:row>1</xdr:row>
      <xdr:rowOff>42862</xdr:rowOff>
    </xdr:from>
    <xdr:to>
      <xdr:col>7</xdr:col>
      <xdr:colOff>638175</xdr:colOff>
      <xdr:row>14</xdr:row>
      <xdr:rowOff>185737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3" sqref="B3"/>
    </sheetView>
  </sheetViews>
  <sheetFormatPr defaultRowHeight="15.75" x14ac:dyDescent="0.25"/>
  <cols>
    <col min="1" max="1" width="10.125" bestFit="1" customWidth="1"/>
    <col min="2" max="2" width="10.875" bestFit="1" customWidth="1"/>
    <col min="3" max="3" width="14.25" bestFit="1" customWidth="1"/>
    <col min="4" max="4" width="14.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14</v>
      </c>
      <c r="C2" t="s">
        <v>8</v>
      </c>
      <c r="D2" t="s">
        <v>11</v>
      </c>
    </row>
    <row r="3" spans="1:4" x14ac:dyDescent="0.25">
      <c r="A3" t="s">
        <v>5</v>
      </c>
      <c r="B3" t="s">
        <v>15</v>
      </c>
      <c r="C3" t="s">
        <v>9</v>
      </c>
      <c r="D3" t="s">
        <v>12</v>
      </c>
    </row>
    <row r="4" spans="1:4" x14ac:dyDescent="0.25">
      <c r="A4" t="s">
        <v>6</v>
      </c>
      <c r="B4" s="1" t="s">
        <v>7</v>
      </c>
      <c r="C4" t="s">
        <v>10</v>
      </c>
      <c r="D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E12" sqref="E12"/>
    </sheetView>
  </sheetViews>
  <sheetFormatPr defaultRowHeight="15.75" x14ac:dyDescent="0.25"/>
  <cols>
    <col min="2" max="2" width="4.875" bestFit="1" customWidth="1"/>
    <col min="3" max="3" width="94.625" bestFit="1" customWidth="1"/>
    <col min="4" max="4" width="36.625" bestFit="1" customWidth="1"/>
    <col min="5" max="5" width="14.125" bestFit="1" customWidth="1"/>
  </cols>
  <sheetData>
    <row r="1" spans="1:5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</row>
    <row r="2" spans="1:5" x14ac:dyDescent="0.25">
      <c r="A2" t="s">
        <v>4</v>
      </c>
      <c r="B2">
        <v>2</v>
      </c>
      <c r="C2" t="s">
        <v>21</v>
      </c>
      <c r="D2" t="s">
        <v>22</v>
      </c>
      <c r="E2" t="s">
        <v>23</v>
      </c>
    </row>
    <row r="3" spans="1:5" x14ac:dyDescent="0.25">
      <c r="A3" t="s">
        <v>4</v>
      </c>
      <c r="B3">
        <v>1</v>
      </c>
      <c r="C3" t="s">
        <v>24</v>
      </c>
      <c r="D3" t="s">
        <v>25</v>
      </c>
      <c r="E3" t="s">
        <v>26</v>
      </c>
    </row>
    <row r="4" spans="1:5" x14ac:dyDescent="0.25">
      <c r="A4" t="s">
        <v>4</v>
      </c>
      <c r="B4">
        <v>1</v>
      </c>
      <c r="C4" t="s">
        <v>30</v>
      </c>
      <c r="D4" t="s">
        <v>27</v>
      </c>
      <c r="E4" t="s">
        <v>26</v>
      </c>
    </row>
    <row r="5" spans="1:5" x14ac:dyDescent="0.25">
      <c r="A5" t="s">
        <v>4</v>
      </c>
      <c r="B5">
        <v>2</v>
      </c>
      <c r="C5" t="s">
        <v>28</v>
      </c>
      <c r="D5" t="s">
        <v>29</v>
      </c>
      <c r="E5" t="s">
        <v>23</v>
      </c>
    </row>
    <row r="6" spans="1:5" x14ac:dyDescent="0.25">
      <c r="A6" t="s">
        <v>4</v>
      </c>
      <c r="B6">
        <v>4</v>
      </c>
      <c r="C6" t="s">
        <v>30</v>
      </c>
      <c r="D6" t="s">
        <v>31</v>
      </c>
      <c r="E6" t="s">
        <v>32</v>
      </c>
    </row>
    <row r="7" spans="1:5" x14ac:dyDescent="0.25">
      <c r="A7" t="s">
        <v>4</v>
      </c>
      <c r="B7">
        <v>1</v>
      </c>
      <c r="C7" t="s">
        <v>33</v>
      </c>
      <c r="D7" t="s">
        <v>34</v>
      </c>
      <c r="E7" t="s">
        <v>35</v>
      </c>
    </row>
    <row r="8" spans="1:5" x14ac:dyDescent="0.25">
      <c r="A8" t="s">
        <v>4</v>
      </c>
      <c r="B8">
        <v>1</v>
      </c>
      <c r="C8" t="s">
        <v>36</v>
      </c>
      <c r="D8" t="s">
        <v>37</v>
      </c>
      <c r="E8" t="s">
        <v>35</v>
      </c>
    </row>
    <row r="9" spans="1:5" x14ac:dyDescent="0.25">
      <c r="A9" t="s">
        <v>4</v>
      </c>
      <c r="B9">
        <v>1</v>
      </c>
      <c r="C9" t="s">
        <v>38</v>
      </c>
      <c r="D9" t="s">
        <v>39</v>
      </c>
      <c r="E9" t="s">
        <v>35</v>
      </c>
    </row>
    <row r="10" spans="1:5" x14ac:dyDescent="0.25">
      <c r="A10" t="s">
        <v>4</v>
      </c>
      <c r="B10">
        <v>1</v>
      </c>
      <c r="C10" t="s">
        <v>40</v>
      </c>
      <c r="D10" t="s">
        <v>27</v>
      </c>
      <c r="E10" t="s">
        <v>26</v>
      </c>
    </row>
    <row r="11" spans="1:5" x14ac:dyDescent="0.25">
      <c r="A11" t="s">
        <v>4</v>
      </c>
      <c r="B11">
        <v>1</v>
      </c>
      <c r="C11" t="s">
        <v>42</v>
      </c>
      <c r="D11" t="s">
        <v>41</v>
      </c>
      <c r="E11" t="s">
        <v>23</v>
      </c>
    </row>
    <row r="12" spans="1:5" x14ac:dyDescent="0.25">
      <c r="A12" t="s">
        <v>4</v>
      </c>
      <c r="B12">
        <v>1</v>
      </c>
      <c r="C12" t="s">
        <v>43</v>
      </c>
      <c r="D12" t="s">
        <v>44</v>
      </c>
      <c r="E12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tabSelected="1" workbookViewId="0">
      <selection activeCell="C19" sqref="C19"/>
    </sheetView>
  </sheetViews>
  <sheetFormatPr defaultRowHeight="15.75" x14ac:dyDescent="0.25"/>
  <cols>
    <col min="1" max="1" width="90.875" bestFit="1" customWidth="1"/>
  </cols>
  <sheetData>
    <row r="1" spans="1:1" x14ac:dyDescent="0.25">
      <c r="A1" t="s">
        <v>46</v>
      </c>
    </row>
    <row r="2" spans="1:1" x14ac:dyDescent="0.25">
      <c r="A2">
        <f>AVERAGE(Reviews_Nelspruit!B2:B13)</f>
        <v>1.4545454545454546</v>
      </c>
    </row>
    <row r="3" spans="1:1" x14ac:dyDescent="0.25">
      <c r="A3">
        <f>COUNTIF(Reviews_Nelspruit!B2:B13, 1)</f>
        <v>8</v>
      </c>
    </row>
    <row r="5" spans="1:1" x14ac:dyDescent="0.25">
      <c r="A5" t="s">
        <v>47</v>
      </c>
    </row>
    <row r="6" spans="1:1" x14ac:dyDescent="0.25">
      <c r="A6">
        <f>COUNTIF(Reviews_Nelspruit!E2:E13, "Service")</f>
        <v>6</v>
      </c>
    </row>
    <row r="7" spans="1:1" x14ac:dyDescent="0.25">
      <c r="A7">
        <f>COUNTIF(Reviews_Nelspruit!E2:E13, "Queue")</f>
        <v>0</v>
      </c>
    </row>
    <row r="8" spans="1:1" x14ac:dyDescent="0.25">
      <c r="A8">
        <f>COUNTIF(Reviews_Nelspruit!E2:E13, "Staffing")</f>
        <v>1</v>
      </c>
    </row>
    <row r="9" spans="1:1" x14ac:dyDescent="0.25">
      <c r="A9">
        <f>COUNTIF(Reviews_Nelspruit!E2:E13, "Queue + Service")</f>
        <v>3</v>
      </c>
    </row>
    <row r="10" spans="1:1" x14ac:dyDescent="0.25">
      <c r="A10">
        <f>COUNTIF(Reviews_Nelspruit!E2:E13, "Good service")</f>
        <v>1</v>
      </c>
    </row>
    <row r="12" spans="1:1" x14ac:dyDescent="0.25">
      <c r="A12" t="s">
        <v>48</v>
      </c>
    </row>
    <row r="13" spans="1:1" x14ac:dyDescent="0.25">
      <c r="A13" t="s">
        <v>49</v>
      </c>
    </row>
    <row r="14" spans="1:1" x14ac:dyDescent="0.25">
      <c r="A14" t="s">
        <v>50</v>
      </c>
    </row>
    <row r="15" spans="1:1" x14ac:dyDescent="0.25">
      <c r="A15" t="s">
        <v>51</v>
      </c>
    </row>
    <row r="17" spans="1:1" x14ac:dyDescent="0.25">
      <c r="A17" t="s">
        <v>52</v>
      </c>
    </row>
    <row r="18" spans="1:1" x14ac:dyDescent="0.25">
      <c r="A18" t="s">
        <v>53</v>
      </c>
    </row>
    <row r="19" spans="1:1" x14ac:dyDescent="0.25">
      <c r="A19" t="s">
        <v>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Bank_Comparison</vt:lpstr>
      <vt:lpstr>Reviews_Nelspruit</vt:lpstr>
      <vt:lpstr>Analysis_Summary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PHILISILE</dc:creator>
  <cp:lastModifiedBy>PHILISILE</cp:lastModifiedBy>
  <dcterms:created xsi:type="dcterms:W3CDTF">2026-09-21T17:01:54Z</dcterms:created>
  <dcterms:modified xsi:type="dcterms:W3CDTF">2026-09-27T18:20:20Z</dcterms:modified>
</cp:coreProperties>
</file>